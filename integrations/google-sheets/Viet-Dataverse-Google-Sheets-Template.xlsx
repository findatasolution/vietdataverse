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ắt đầu" sheetId="1" state="visible" r:id="rId1"/>
    <sheet xmlns:r="http://schemas.openxmlformats.org/officeDocument/2006/relationships" name="Tổng quan" sheetId="2" state="visible" r:id="rId2"/>
    <sheet xmlns:r="http://schemas.openxmlformats.org/officeDocument/2006/relationships" name="Vàng SJC" sheetId="3" state="visible" r:id="rId3"/>
    <sheet xmlns:r="http://schemas.openxmlformats.org/officeDocument/2006/relationships" name="Bạc" sheetId="4" state="visible" r:id="rId4"/>
    <sheet xmlns:r="http://schemas.openxmlformats.org/officeDocument/2006/relationships" name="Lãi suất LNH" sheetId="5" state="visible" r:id="rId5"/>
    <sheet xmlns:r="http://schemas.openxmlformats.org/officeDocument/2006/relationships" name="Tỷ giá" sheetId="6" state="visible" r:id="rId6"/>
    <sheet xmlns:r="http://schemas.openxmlformats.org/officeDocument/2006/relationships" name="Tiền gửi ACB" sheetId="7" state="visible" r:id="rId7"/>
    <sheet xmlns:r="http://schemas.openxmlformats.org/officeDocument/2006/relationships" name="Thế giới" sheetId="8" state="visible" r:id="rId8"/>
    <sheet xmlns:r="http://schemas.openxmlformats.org/officeDocument/2006/relationships" name="CPI" sheetId="9" state="visible" r:id="rId9"/>
    <sheet xmlns:r="http://schemas.openxmlformats.org/officeDocument/2006/relationships" name="GDP" sheetId="10" state="visible" r:id="rId10"/>
    <sheet xmlns:r="http://schemas.openxmlformats.org/officeDocument/2006/relationships" name="Xuất nhập khẩu" sheetId="11" state="visible" r:id="rId11"/>
    <sheet xmlns:r="http://schemas.openxmlformats.org/officeDocument/2006/relationships" name="_raw" sheetId="12" state="hidden" r:id="rId12"/>
  </sheets>
  <definedNames>
    <definedName name="VDV_A">'_raw'!$A$2:$A$8000</definedName>
    <definedName name="VDV_B">'_raw'!$B$2:$B$8000</definedName>
    <definedName name="VDV_C">'_raw'!$C$2:$C$8000</definedName>
    <definedName name="VDV_D">'_raw'!$D$2:$D$8000</definedName>
    <definedName name="VDV_E">'_raw'!$E$2:$E$8000</definedName>
    <definedName name="VDV_F">'_raw'!$F$2:$F$8000</definedName>
    <definedName name="VDV_G">'_raw'!$G$2:$G$8000</definedName>
    <definedName name="VDV_H">'_raw'!$H$2:$H$8000</definedName>
    <definedName name="VDV_I">'_raw'!$I$2:$I$8000</definedName>
    <definedName name="VDV_STATUS">'_raw'!$A$1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"/>
    <numFmt numFmtId="166" formatCode="[Color10]▲ 0.0%;[Red]▼ 0.0%;&quot;không đổi&quot;"/>
    <numFmt numFmtId="167" formatCode="[Color10]▲ 0.00 &quot;điểm %&quot;;[Red]▼ 0.00 &quot;điểm %&quot;;&quot;không đổi&quot;"/>
  </numFmts>
  <fonts count="16">
    <font>
      <name val="Calibri"/>
      <family val="2"/>
      <color theme="1"/>
      <sz val="11"/>
      <scheme val="minor"/>
    </font>
    <font>
      <name val="Georgia"/>
      <b val="1"/>
      <color rgb="00141413"/>
      <sz val="18"/>
    </font>
    <font>
      <color rgb="005E5D59"/>
      <sz val="11"/>
    </font>
    <font>
      <b val="1"/>
      <color rgb="002F5FDE"/>
      <sz val="12"/>
    </font>
    <font>
      <b val="1"/>
      <color rgb="00141413"/>
      <sz val="12"/>
    </font>
    <font>
      <b val="1"/>
      <color rgb="00141413"/>
      <sz val="11"/>
    </font>
    <font>
      <name val="Georgia"/>
      <b val="1"/>
      <color rgb="00141413"/>
      <sz val="14"/>
    </font>
    <font>
      <color rgb="005E5D59"/>
      <sz val="10"/>
    </font>
    <font>
      <b val="1"/>
      <color rgb="002F5FDE"/>
      <sz val="10"/>
    </font>
    <font>
      <b val="1"/>
      <color rgb="00FFFFFF"/>
      <sz val="10"/>
    </font>
    <font>
      <name val="Georgia"/>
      <b val="1"/>
      <color rgb="00141413"/>
      <sz val="20"/>
    </font>
    <font>
      <b val="1"/>
      <color rgb="005E5D59"/>
      <sz val="10"/>
    </font>
    <font>
      <name val="Georgia"/>
      <b val="1"/>
      <color rgb="00141413"/>
      <sz val="22"/>
    </font>
    <font>
      <color rgb="005E5D59"/>
      <sz val="9"/>
    </font>
    <font>
      <b val="1"/>
      <sz val="11"/>
    </font>
    <font>
      <name val="Georgia"/>
      <b val="1"/>
      <color rgb="00141413"/>
      <sz val="13"/>
    </font>
  </fonts>
  <fills count="6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FF8DC"/>
      </patternFill>
    </fill>
    <fill>
      <patternFill patternType="solid">
        <fgColor rgb="002F5FDE"/>
      </patternFill>
    </fill>
    <fill>
      <patternFill patternType="solid">
        <fgColor rgb="00F6F8FE"/>
      </patternFill>
    </fill>
  </fills>
  <borders count="3">
    <border>
      <left/>
      <right/>
      <top/>
      <bottom/>
      <diagonal/>
    </border>
    <border>
      <left style="medium">
        <color rgb="002F5FDE"/>
      </left>
      <right style="medium">
        <color rgb="002F5FDE"/>
      </right>
      <top style="medium">
        <color rgb="002F5FDE"/>
      </top>
      <bottom style="medium">
        <color rgb="002F5FDE"/>
      </bottom>
    </border>
    <border>
      <bottom style="thin">
        <color rgb="00E3E8F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0" borderId="0" pivotButton="0" quotePrefix="0" xfId="0"/>
    <xf numFmtId="0" fontId="7" fillId="0" borderId="0" pivotButton="0" quotePrefix="0" xfId="0"/>
    <xf numFmtId="0" fontId="11" fillId="5" borderId="0" pivotButton="0" quotePrefix="0" xfId="0"/>
    <xf numFmtId="164" fontId="12" fillId="5" borderId="0" applyAlignment="1" pivotButton="0" quotePrefix="0" xfId="0">
      <alignment horizontal="left"/>
    </xf>
    <xf numFmtId="4" fontId="12" fillId="5" borderId="0" applyAlignment="1" pivotButton="0" quotePrefix="0" xfId="0">
      <alignment horizontal="left"/>
    </xf>
    <xf numFmtId="3" fontId="12" fillId="5" borderId="0" applyAlignment="1" pivotButton="0" quotePrefix="0" xfId="0">
      <alignment horizontal="left"/>
    </xf>
    <xf numFmtId="0" fontId="13" fillId="5" borderId="0" pivotButton="0" quotePrefix="0" xfId="0"/>
    <xf numFmtId="166" fontId="14" fillId="5" borderId="0" applyAlignment="1" pivotButton="0" quotePrefix="0" xfId="0">
      <alignment horizontal="left"/>
    </xf>
    <xf numFmtId="0" fontId="0" fillId="5" borderId="0" pivotButton="0" quotePrefix="0" xfId="0"/>
    <xf numFmtId="2" fontId="12" fillId="5" borderId="0" applyAlignment="1" pivotButton="0" quotePrefix="0" xfId="0">
      <alignment horizontal="left"/>
    </xf>
    <xf numFmtId="167" fontId="14" fillId="5" borderId="0" applyAlignment="1" pivotButton="0" quotePrefix="0" xfId="0">
      <alignment horizontal="left"/>
    </xf>
    <xf numFmtId="0" fontId="15" fillId="0" borderId="0" pivotButton="0" quotePrefix="0" xfId="0"/>
    <xf numFmtId="0" fontId="13" fillId="0" borderId="0" pivotButton="0" quotePrefix="0" xfId="0"/>
    <xf numFmtId="3" fontId="5" fillId="0" borderId="0" applyAlignment="1" pivotButton="0" quotePrefix="0" xfId="0">
      <alignment horizontal="left"/>
    </xf>
    <xf numFmtId="2" fontId="5" fillId="0" borderId="0" applyAlignment="1" pivotButton="0" quotePrefix="0" xfId="0">
      <alignment horizontal="left"/>
    </xf>
    <xf numFmtId="3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2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" fontId="0" fillId="0" borderId="0" pivotButton="0" quotePrefix="0" xfId="0"/>
    <xf numFmtId="0" fontId="9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2">
      <c r="B2" s="1" t="inlineStr">
        <is>
          <t>Viet Dataverse — Dữ liệu kinh tế Việt Nam</t>
        </is>
      </c>
    </row>
    <row r="3">
      <c r="B3" s="2" t="inlineStr">
        <is>
          <t>Bảng tổng quan + chín bộ dữ liệu vĩ mô &amp; thị trường, tự cập nhật.</t>
        </is>
      </c>
    </row>
    <row r="5">
      <c r="B5" s="3" t="inlineStr">
        <is>
          <t>CHỈ CÓ MỘT BƯỚC</t>
        </is>
      </c>
    </row>
    <row r="6">
      <c r="B6" s="4" t="inlineStr">
        <is>
          <t>Dán API key của bạn vào ô bên phải  →</t>
        </is>
      </c>
      <c r="C6" s="5" t="n"/>
    </row>
    <row r="7">
      <c r="B7" s="4" t="inlineStr">
        <is>
          <t>Làm mới ngay (tăng số này)</t>
        </is>
      </c>
      <c r="C7" s="5" t="n">
        <v>1</v>
      </c>
    </row>
    <row r="8">
      <c r="B8" s="4" t="inlineStr">
        <is>
          <t>Khoảng thời gian</t>
        </is>
      </c>
      <c r="C8" s="5" t="inlineStr">
        <is>
          <t>1y</t>
        </is>
      </c>
    </row>
    <row r="10" ht="32" customHeight="1">
      <c r="B10" s="6" t="inlineStr">
        <is>
          <t>Xong.</t>
        </is>
      </c>
      <c r="C10" s="7" t="inlineStr">
        <is>
          <t>Mở tab "Tổng quan" để xem bảng tổng quan; chín tab sau là dữ liệu chi tiết, mỗi tab có biểu đồ.</t>
        </is>
      </c>
    </row>
    <row r="11" ht="32" customHeight="1">
      <c r="B11" s="6" t="inlineStr">
        <is>
          <t>Chưa có key?</t>
        </is>
      </c>
      <c r="C11" s="7" t="inlineStr">
        <is>
          <t>Lấy miễn phí tại https://vietdataverse.online/pages/developer.html</t>
        </is>
      </c>
    </row>
    <row r="12" ht="32" customHeight="1">
      <c r="B12" s="6" t="inlineStr">
        <is>
          <t>Làm mới</t>
        </is>
      </c>
      <c r="C12" s="7" t="inlineStr">
        <is>
          <t>Tăng số ở ô C7 (1 → 2 → 3…). Tải lại trang KHÔNG làm mới — Google giữ cache ~1 giờ.</t>
        </is>
      </c>
    </row>
    <row r="13" ht="32" customHeight="1">
      <c r="B13" s="6" t="inlineStr">
        <is>
          <t>Khoảng thời gian</t>
        </is>
      </c>
      <c r="C13" s="7" t="inlineStr">
        <is>
          <t>Chọn ở ô C8: 1m (1 tháng), 1y (1 năm), all (toàn bộ lịch sử).</t>
        </is>
      </c>
    </row>
    <row r="14" ht="32" customHeight="1">
      <c r="B14" s="6" t="inlineStr">
        <is>
          <t>Hạn mức</t>
        </is>
      </c>
      <c r="C14" s="7" t="inlineStr">
        <is>
          <t>Cả file chỉ tốn 1 lượt API mỗi lần làm mới (không phải 9). Miễn phí 20 lượt/tháng; gói trả phí 1.000 lượt/tháng.</t>
        </is>
      </c>
    </row>
    <row r="15" ht="32" customHeight="1">
      <c r="B15" s="6" t="inlineStr">
        <is>
          <t>Bảo mật</t>
        </is>
      </c>
      <c r="C15" s="7" t="inlineStr">
        <is>
          <t>Key nằm trong ô C6 của bản copy của bạn. Đừng chia sẻ file này cho người lạ.</t>
        </is>
      </c>
    </row>
  </sheetData>
  <dataValidations count="1">
    <dataValidation sqref="C8" showDropDown="0" showInputMessage="0" showErrorMessage="0" allowBlank="0" type="list">
      <formula1>"1m,1y,all"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6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2.5" customWidth="1" min="5" max="5"/>
    <col width="13" customWidth="1" min="6" max="6"/>
    <col width="13" customWidth="1" min="7" max="7"/>
    <col width="13" customWidth="1" min="8" max="8"/>
    <col width="2.5" customWidth="1" min="9" max="9"/>
    <col width="13" customWidth="1" min="10" max="10"/>
    <col width="13" customWidth="1" min="11" max="11"/>
    <col width="13" customWidth="1" min="12" max="12"/>
    <col width="2.5" customWidth="1" min="13" max="13"/>
    <col width="13" customWidth="1" min="14" max="14"/>
    <col width="13" customWidth="1" min="15" max="15"/>
    <col width="13" customWidth="1" min="16" max="16"/>
    <col width="2.5" customWidth="1" min="17" max="17"/>
  </cols>
  <sheetData>
    <row r="2">
      <c r="B2" s="8" t="inlineStr">
        <is>
          <t>Bảng tổng quan kinh tế Việt Nam</t>
        </is>
      </c>
    </row>
    <row r="3">
      <c r="B3" s="9">
        <f>IF(VDV_STATUS&lt;&gt;"dataset", VDV_STATUS, "Vàng SJC cập nhật đến " &amp; 'Vàng SJC'!B2 &amp; " · dữ liệu Viet Dataverse · thay đổi so với kỳ trước")</f>
        <v/>
      </c>
    </row>
    <row r="5">
      <c r="B5" s="10" t="inlineStr">
        <is>
          <t>Vàng SJC — bán ra</t>
        </is>
      </c>
      <c r="F5" s="10" t="inlineStr">
        <is>
          <t>Bạc Phú Quý — bán ra</t>
        </is>
      </c>
      <c r="J5" s="10" t="inlineStr">
        <is>
          <t>Tỷ giá trung tâm USD</t>
        </is>
      </c>
      <c r="N5" s="10" t="inlineStr">
        <is>
          <t>Vàng thế giới</t>
        </is>
      </c>
    </row>
    <row r="6" ht="32" customHeight="1">
      <c r="B6" s="11">
        <f>IFERROR(INDEX('Vàng SJC'!C$6:C$2500, COUNTA('Vàng SJC'!$A$6:$A$2500)-0)/1000000, "—")</f>
        <v/>
      </c>
      <c r="F6" s="12">
        <f>IFERROR(INDEX('Bạc'!C$6:C$2500, COUNTA('Bạc'!$A$6:$A$2500)-0)/1000000, "—")</f>
        <v/>
      </c>
      <c r="J6" s="13">
        <f>IFERROR(INDEX('Tỷ giá'!B$6:B$2500, COUNTA('Tỷ giá'!$A$6:$A$2500)-0), "—")</f>
        <v/>
      </c>
      <c r="N6" s="13">
        <f>IFERROR(INDEX('Thế giới'!B$6:B$2500, COUNTA('Thế giới'!$A$6:$A$2500)-0), "—")</f>
        <v/>
      </c>
    </row>
    <row r="7">
      <c r="B7" s="14" t="inlineStr">
        <is>
          <t>triệu VND/lượng</t>
        </is>
      </c>
      <c r="F7" s="14" t="inlineStr">
        <is>
          <t>triệu VND/lượng</t>
        </is>
      </c>
      <c r="J7" s="14" t="inlineStr">
        <is>
          <t>VND/USD</t>
        </is>
      </c>
      <c r="N7" s="14" t="inlineStr">
        <is>
          <t>USD/oz</t>
        </is>
      </c>
    </row>
    <row r="8">
      <c r="B8" s="15">
        <f>IFERROR(INDEX('Vàng SJC'!C$6:C$2500, COUNTA('Vàng SJC'!$A$6:$A$2500)-0)/INDEX('Vàng SJC'!C$6:C$2500, COUNTA('Vàng SJC'!$A$6:$A$2500)-1)-1, "")</f>
        <v/>
      </c>
      <c r="F8" s="15">
        <f>IFERROR(INDEX('Bạc'!C$6:C$2500, COUNTA('Bạc'!$A$6:$A$2500)-0)/INDEX('Bạc'!C$6:C$2500, COUNTA('Bạc'!$A$6:$A$2500)-1)-1, "")</f>
        <v/>
      </c>
      <c r="J8" s="15">
        <f>IFERROR(INDEX('Tỷ giá'!B$6:B$2500, COUNTA('Tỷ giá'!$A$6:$A$2500)-0)/INDEX('Tỷ giá'!B$6:B$2500, COUNTA('Tỷ giá'!$A$6:$A$2500)-1)-1, "")</f>
        <v/>
      </c>
      <c r="N8" s="15">
        <f>IFERROR(INDEX('Thế giới'!B$6:B$2500, COUNTA('Thế giới'!$A$6:$A$2500)-0)/INDEX('Thế giới'!B$6:B$2500, COUNTA('Thế giới'!$A$6:$A$2500)-1)-1, "")</f>
        <v/>
      </c>
    </row>
    <row r="9" ht="34" customHeight="1">
      <c r="B9" s="16">
        <f>IFERROR(SPARKLINE(OFFSET('Vàng SJC'!C6, MAX(0, COUNTA('Vàng SJC'!$A$6:$A$2500)-90), 0, MIN(90, COUNTA('Vàng SJC'!$A$6:$A$2500)), 1), {"charttype","line";"color","#2F5FDE";"linewidth",2}), "")</f>
        <v/>
      </c>
      <c r="F9" s="16">
        <f>IFERROR(SPARKLINE(OFFSET('Bạc'!C6, MAX(0, COUNTA('Bạc'!$A$6:$A$2500)-90), 0, MIN(90, COUNTA('Bạc'!$A$6:$A$2500)), 1), {"charttype","line";"color","#2F5FDE";"linewidth",2}), "")</f>
        <v/>
      </c>
      <c r="J9" s="16">
        <f>IFERROR(SPARKLINE(OFFSET('Tỷ giá'!B6, MAX(0, COUNTA('Tỷ giá'!$A$6:$A$2500)-90), 0, MIN(90, COUNTA('Tỷ giá'!$A$6:$A$2500)), 1), {"charttype","line";"color","#2F5FDE";"linewidth",2}), "")</f>
        <v/>
      </c>
      <c r="N9" s="16">
        <f>IFERROR(SPARKLINE(OFFSET('Thế giới'!B6, MAX(0, COUNTA('Thế giới'!$A$6:$A$2500)-90), 0, MIN(90, COUNTA('Thế giới'!$A$6:$A$2500)), 1), {"charttype","line";"color","#2F5FDE";"linewidth",2}), "")</f>
        <v/>
      </c>
    </row>
    <row r="10">
      <c r="B10" s="14">
        <f>IFERROR("Kỳ " &amp; INDEX('Vàng SJC'!A$6:A$2500, COUNTA('Vàng SJC'!$A$6:$A$2500)-0), "")</f>
        <v/>
      </c>
      <c r="F10" s="14">
        <f>IFERROR("Kỳ " &amp; INDEX('Bạc'!A$6:A$2500, COUNTA('Bạc'!$A$6:$A$2500)-0), "")</f>
        <v/>
      </c>
      <c r="J10" s="14">
        <f>IFERROR("Kỳ " &amp; INDEX('Tỷ giá'!A$6:A$2500, COUNTA('Tỷ giá'!$A$6:$A$2500)-0), "")</f>
        <v/>
      </c>
      <c r="N10" s="14">
        <f>IFERROR("Kỳ " &amp; INDEX('Thế giới'!A$6:A$2500, COUNTA('Thế giới'!$A$6:$A$2500)-0), "")</f>
        <v/>
      </c>
    </row>
    <row r="12">
      <c r="B12" s="10" t="inlineStr">
        <is>
          <t>Lãi suất qua đêm LNH</t>
        </is>
      </c>
      <c r="F12" s="10" t="inlineStr">
        <is>
          <t>Tiền gửi ACB 12 tháng</t>
        </is>
      </c>
      <c r="J12" s="10" t="inlineStr">
        <is>
          <t>CPI so cùng kỳ</t>
        </is>
      </c>
      <c r="N12" s="10" t="inlineStr">
        <is>
          <t>Xuất khẩu tháng</t>
        </is>
      </c>
    </row>
    <row r="13" ht="32" customHeight="1">
      <c r="B13" s="17">
        <f>IFERROR(INDEX('Lãi suất LNH'!B$6:B$2500, COUNTA('Lãi suất LNH'!$A$6:$A$2500)-0), "—")</f>
        <v/>
      </c>
      <c r="F13" s="17">
        <f>IFERROR(INDEX('Tiền gửi ACB'!E$6:E$2500, COUNTA('Tiền gửi ACB'!$A$6:$A$2500)-0), "—")</f>
        <v/>
      </c>
      <c r="J13" s="17">
        <f>IFERROR(INDEX('CPI'!C$6:C$2500, COUNTA('CPI'!$A$6:$A$2500)-0), "—")</f>
        <v/>
      </c>
      <c r="N13" s="17">
        <f>IFERROR(INDEX('Xuất nhập khẩu'!B$6:B$2500, COUNTA('Xuất nhập khẩu'!$A$6:$A$2500)-0), "—")</f>
        <v/>
      </c>
    </row>
    <row r="14">
      <c r="B14" s="14" t="inlineStr">
        <is>
          <t>%/năm</t>
        </is>
      </c>
      <c r="F14" s="14" t="inlineStr">
        <is>
          <t>%/năm</t>
        </is>
      </c>
      <c r="J14" s="14" t="inlineStr">
        <is>
          <t>%</t>
        </is>
      </c>
      <c r="N14" s="14" t="inlineStr">
        <is>
          <t>tỷ USD</t>
        </is>
      </c>
    </row>
    <row r="15">
      <c r="B15" s="18">
        <f>IFERROR(INDEX('Lãi suất LNH'!B$6:B$2500, COUNTA('Lãi suất LNH'!$A$6:$A$2500)-0)-INDEX('Lãi suất LNH'!B$6:B$2500, COUNTA('Lãi suất LNH'!$A$6:$A$2500)-1), "")</f>
        <v/>
      </c>
      <c r="F15" s="18">
        <f>IFERROR(INDEX('Tiền gửi ACB'!E$6:E$2500, COUNTA('Tiền gửi ACB'!$A$6:$A$2500)-0)-INDEX('Tiền gửi ACB'!E$6:E$2500, COUNTA('Tiền gửi ACB'!$A$6:$A$2500)-1), "")</f>
        <v/>
      </c>
      <c r="J15" s="18">
        <f>IFERROR(INDEX('CPI'!C$6:C$2500, COUNTA('CPI'!$A$6:$A$2500)-0)-INDEX('CPI'!C$6:C$2500, COUNTA('CPI'!$A$6:$A$2500)-1), "")</f>
        <v/>
      </c>
      <c r="N15" s="15">
        <f>IFERROR(INDEX('Xuất nhập khẩu'!B$6:B$2500, COUNTA('Xuất nhập khẩu'!$A$6:$A$2500)-0)/INDEX('Xuất nhập khẩu'!B$6:B$2500, COUNTA('Xuất nhập khẩu'!$A$6:$A$2500)-1)-1, "")</f>
        <v/>
      </c>
    </row>
    <row r="16" ht="34" customHeight="1">
      <c r="B16" s="16">
        <f>IFERROR(SPARKLINE(OFFSET('Lãi suất LNH'!B6, MAX(0, COUNTA('Lãi suất LNH'!$A$6:$A$2500)-90), 0, MIN(90, COUNTA('Lãi suất LNH'!$A$6:$A$2500)), 1), {"charttype","line";"color","#2F5FDE";"linewidth",2}), "")</f>
        <v/>
      </c>
      <c r="F16" s="16">
        <f>IFERROR(SPARKLINE(OFFSET('Tiền gửi ACB'!E6, MAX(0, COUNTA('Tiền gửi ACB'!$A$6:$A$2500)-90), 0, MIN(90, COUNTA('Tiền gửi ACB'!$A$6:$A$2500)), 1), {"charttype","line";"color","#2F5FDE";"linewidth",2}), "")</f>
        <v/>
      </c>
      <c r="J16" s="16">
        <f>IFERROR(SPARKLINE(OFFSET('CPI'!C6, MAX(0, COUNTA('CPI'!$A$6:$A$2500)-90), 0, MIN(90, COUNTA('CPI'!$A$6:$A$2500)), 1), {"charttype","line";"color","#2F5FDE";"linewidth",2}), "")</f>
        <v/>
      </c>
      <c r="N16" s="16">
        <f>IFERROR(SPARKLINE(OFFSET('Xuất nhập khẩu'!B6, MAX(0, COUNTA('Xuất nhập khẩu'!$A$6:$A$2500)-90), 0, MIN(90, COUNTA('Xuất nhập khẩu'!$A$6:$A$2500)), 1), {"charttype","line";"color","#2F5FDE";"linewidth",2}), "")</f>
        <v/>
      </c>
    </row>
    <row r="17">
      <c r="B17" s="14">
        <f>IFERROR("Kỳ " &amp; INDEX('Lãi suất LNH'!A$6:A$2500, COUNTA('Lãi suất LNH'!$A$6:$A$2500)-0), "")</f>
        <v/>
      </c>
      <c r="F17" s="14">
        <f>IFERROR("Kỳ " &amp; INDEX('Tiền gửi ACB'!A$6:A$2500, COUNTA('Tiền gửi ACB'!$A$6:$A$2500)-0), "")</f>
        <v/>
      </c>
      <c r="J17" s="14">
        <f>IFERROR("Kỳ " &amp; INDEX('CPI'!A$6:A$2500, COUNTA('CPI'!$A$6:$A$2500)-0), "")</f>
        <v/>
      </c>
      <c r="N17" s="14">
        <f>IFERROR("Kỳ " &amp; INDEX('Xuất nhập khẩu'!A$6:A$2500, COUNTA('Xuất nhập khẩu'!$A$6:$A$2500)-0), "")</f>
        <v/>
      </c>
    </row>
    <row r="20">
      <c r="B20" s="19" t="inlineStr">
        <is>
          <t>Giá vàng SJC bán ra (VND/lượng)</t>
        </is>
      </c>
      <c r="J20" s="19" t="inlineStr">
        <is>
          <t>Tỷ giá trung tâm USD/VND</t>
        </is>
      </c>
    </row>
    <row r="21" ht="18" customHeight="1">
      <c r="B21">
        <f>IFERROR(SPARKLINE(FILTER('Vàng SJC'!C6:C2500, 'Vàng SJC'!C6:C2500&lt;&gt;""), {"charttype","line";"color","#2F5FDE";"linewidth",2}), "")</f>
        <v/>
      </c>
      <c r="J21">
        <f>IFERROR(SPARKLINE(FILTER('Tỷ giá'!B6:B2500, 'Tỷ giá'!B6:B2500&lt;&gt;""), {"charttype","line";"color","#1E3FAE";"linewidth",2}), "")</f>
        <v/>
      </c>
    </row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>
      <c r="B29" s="20" t="inlineStr">
        <is>
          <t>Đầu kỳ</t>
        </is>
      </c>
      <c r="D29" s="20" t="inlineStr">
        <is>
          <t>Thấp nhất</t>
        </is>
      </c>
      <c r="F29" s="20" t="inlineStr">
        <is>
          <t>Cao nhất</t>
        </is>
      </c>
      <c r="H29" s="20" t="inlineStr">
        <is>
          <t>Mới nhất</t>
        </is>
      </c>
      <c r="J29" s="20" t="inlineStr">
        <is>
          <t>Đầu kỳ</t>
        </is>
      </c>
      <c r="L29" s="20" t="inlineStr">
        <is>
          <t>Thấp nhất</t>
        </is>
      </c>
      <c r="N29" s="20" t="inlineStr">
        <is>
          <t>Cao nhất</t>
        </is>
      </c>
      <c r="P29" s="20" t="inlineStr">
        <is>
          <t>Mới nhất</t>
        </is>
      </c>
    </row>
    <row r="30">
      <c r="B30" s="21">
        <f>IFERROR(INDEX(FILTER('Vàng SJC'!C6:C2500, 'Vàng SJC'!C6:C2500&lt;&gt;""), 1), "—")</f>
        <v/>
      </c>
      <c r="D30" s="21">
        <f>IFERROR(MIN('Vàng SJC'!C6:C2500), "—")</f>
        <v/>
      </c>
      <c r="F30" s="21">
        <f>IFERROR(MAX('Vàng SJC'!C6:C2500), "—")</f>
        <v/>
      </c>
      <c r="H30" s="21">
        <f>IFERROR(INDEX(FILTER('Vàng SJC'!C6:C2500, 'Vàng SJC'!C6:C2500&lt;&gt;""), COUNT('Vàng SJC'!C6:C2500)), "—")</f>
        <v/>
      </c>
      <c r="J30" s="21">
        <f>IFERROR(INDEX(FILTER('Tỷ giá'!B6:B2500, 'Tỷ giá'!B6:B2500&lt;&gt;""), 1), "—")</f>
        <v/>
      </c>
      <c r="L30" s="21">
        <f>IFERROR(MIN('Tỷ giá'!B6:B2500), "—")</f>
        <v/>
      </c>
      <c r="N30" s="21">
        <f>IFERROR(MAX('Tỷ giá'!B6:B2500), "—")</f>
        <v/>
      </c>
      <c r="P30" s="21">
        <f>IFERROR(INDEX(FILTER('Tỷ giá'!B6:B2500, 'Tỷ giá'!B6:B2500&lt;&gt;""), COUNT('Tỷ giá'!B6:B2500)), "—")</f>
        <v/>
      </c>
    </row>
    <row r="33">
      <c r="B33" s="19" t="inlineStr">
        <is>
          <t>Lãi suất qua đêm liên ngân hàng (%/năm)</t>
        </is>
      </c>
      <c r="J33" s="19" t="inlineStr">
        <is>
          <t>Vàng thế giới (USD/oz)</t>
        </is>
      </c>
    </row>
    <row r="34" ht="18" customHeight="1">
      <c r="B34">
        <f>IFERROR(SPARKLINE(FILTER('Lãi suất LNH'!B6:B2500, 'Lãi suất LNH'!B6:B2500&lt;&gt;""), {"charttype","line";"color","#6C93E4";"linewidth",2}), "")</f>
        <v/>
      </c>
      <c r="J34">
        <f>IFERROR(SPARKLINE(FILTER('Thế giới'!B6:B2500, 'Thế giới'!B6:B2500&lt;&gt;""), {"charttype","line";"color","#16307F";"linewidth",2}), "")</f>
        <v/>
      </c>
    </row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>
      <c r="B42" s="20" t="inlineStr">
        <is>
          <t>Đầu kỳ</t>
        </is>
      </c>
      <c r="D42" s="20" t="inlineStr">
        <is>
          <t>Thấp nhất</t>
        </is>
      </c>
      <c r="F42" s="20" t="inlineStr">
        <is>
          <t>Cao nhất</t>
        </is>
      </c>
      <c r="H42" s="20" t="inlineStr">
        <is>
          <t>Mới nhất</t>
        </is>
      </c>
      <c r="J42" s="20" t="inlineStr">
        <is>
          <t>Đầu kỳ</t>
        </is>
      </c>
      <c r="L42" s="20" t="inlineStr">
        <is>
          <t>Thấp nhất</t>
        </is>
      </c>
      <c r="N42" s="20" t="inlineStr">
        <is>
          <t>Cao nhất</t>
        </is>
      </c>
      <c r="P42" s="20" t="inlineStr">
        <is>
          <t>Mới nhất</t>
        </is>
      </c>
    </row>
    <row r="43">
      <c r="B43" s="22">
        <f>IFERROR(INDEX(FILTER('Lãi suất LNH'!B6:B2500, 'Lãi suất LNH'!B6:B2500&lt;&gt;""), 1), "—")</f>
        <v/>
      </c>
      <c r="D43" s="22">
        <f>IFERROR(MIN('Lãi suất LNH'!B6:B2500), "—")</f>
        <v/>
      </c>
      <c r="F43" s="22">
        <f>IFERROR(MAX('Lãi suất LNH'!B6:B2500), "—")</f>
        <v/>
      </c>
      <c r="H43" s="22">
        <f>IFERROR(INDEX(FILTER('Lãi suất LNH'!B6:B2500, 'Lãi suất LNH'!B6:B2500&lt;&gt;""), COUNT('Lãi suất LNH'!B6:B2500)), "—")</f>
        <v/>
      </c>
      <c r="J43" s="21">
        <f>IFERROR(INDEX(FILTER('Thế giới'!B6:B2500, 'Thế giới'!B6:B2500&lt;&gt;""), 1), "—")</f>
        <v/>
      </c>
      <c r="L43" s="21">
        <f>IFERROR(MIN('Thế giới'!B6:B2500), "—")</f>
        <v/>
      </c>
      <c r="N43" s="21">
        <f>IFERROR(MAX('Thế giới'!B6:B2500), "—")</f>
        <v/>
      </c>
      <c r="P43" s="21">
        <f>IFERROR(INDEX(FILTER('Thế giới'!B6:B2500, 'Thế giới'!B6:B2500&lt;&gt;""), COUNT('Thế giới'!B6:B2500)), "—")</f>
        <v/>
      </c>
    </row>
    <row r="46">
      <c r="B46" s="19" t="inlineStr">
        <is>
          <t>CPI so cùng kỳ (%)</t>
        </is>
      </c>
      <c r="J46" s="19" t="inlineStr">
        <is>
          <t>Cán cân thương mại (tỷ USD)</t>
        </is>
      </c>
    </row>
    <row r="47" ht="18" customHeight="1">
      <c r="B47">
        <f>IFERROR(SPARKLINE(FILTER('CPI'!C6:C2500, 'CPI'!C6:C2500&lt;&gt;""), {"charttype","column";"color","#2F5FDE";"negcolor","#EF5350";"linewidth",2}), "")</f>
        <v/>
      </c>
      <c r="J47">
        <f>IFERROR(SPARKLINE(FILTER('Xuất nhập khẩu'!D6:D2500, 'Xuất nhập khẩu'!D6:D2500&lt;&gt;""), {"charttype","column";"color","#26A69A";"negcolor","#EF5350";"linewidth",2}), "")</f>
        <v/>
      </c>
    </row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>
      <c r="B55" s="20" t="inlineStr">
        <is>
          <t>Đầu kỳ</t>
        </is>
      </c>
      <c r="D55" s="20" t="inlineStr">
        <is>
          <t>Thấp nhất</t>
        </is>
      </c>
      <c r="F55" s="20" t="inlineStr">
        <is>
          <t>Cao nhất</t>
        </is>
      </c>
      <c r="H55" s="20" t="inlineStr">
        <is>
          <t>Mới nhất</t>
        </is>
      </c>
      <c r="J55" s="20" t="inlineStr">
        <is>
          <t>Đầu kỳ</t>
        </is>
      </c>
      <c r="L55" s="20" t="inlineStr">
        <is>
          <t>Thấp nhất</t>
        </is>
      </c>
      <c r="N55" s="20" t="inlineStr">
        <is>
          <t>Cao nhất</t>
        </is>
      </c>
      <c r="P55" s="20" t="inlineStr">
        <is>
          <t>Mới nhất</t>
        </is>
      </c>
    </row>
    <row r="56">
      <c r="B56" s="22">
        <f>IFERROR(INDEX(FILTER('CPI'!C6:C2500, 'CPI'!C6:C2500&lt;&gt;""), 1), "—")</f>
        <v/>
      </c>
      <c r="D56" s="22">
        <f>IFERROR(MIN('CPI'!C6:C2500), "—")</f>
        <v/>
      </c>
      <c r="F56" s="22">
        <f>IFERROR(MAX('CPI'!C6:C2500), "—")</f>
        <v/>
      </c>
      <c r="H56" s="22">
        <f>IFERROR(INDEX(FILTER('CPI'!C6:C2500, 'CPI'!C6:C2500&lt;&gt;""), COUNT('CPI'!C6:C2500)), "—")</f>
        <v/>
      </c>
      <c r="J56" s="22">
        <f>IFERROR(INDEX(FILTER('Xuất nhập khẩu'!D6:D2500, 'Xuất nhập khẩu'!D6:D2500&lt;&gt;""), 1), "—")</f>
        <v/>
      </c>
      <c r="L56" s="22">
        <f>IFERROR(MIN('Xuất nhập khẩu'!D6:D2500), "—")</f>
        <v/>
      </c>
      <c r="N56" s="22">
        <f>IFERROR(MAX('Xuất nhập khẩu'!D6:D2500), "—")</f>
        <v/>
      </c>
      <c r="P56" s="22">
        <f>IFERROR(INDEX(FILTER('Xuất nhập khẩu'!D6:D2500, 'Xuất nhập khẩu'!D6:D2500&lt;&gt;""), COUNT('Xuất nhập khẩu'!D6:D2500)), "—")</f>
        <v/>
      </c>
    </row>
    <row r="59">
      <c r="B59" s="19" t="inlineStr">
        <is>
          <t>Giá bạc Phú Quý bán ra (VND/lượng)</t>
        </is>
      </c>
      <c r="J59" s="19" t="inlineStr">
        <is>
          <t>Tăng trưởng GDP toàn nền kinh tế (%)</t>
        </is>
      </c>
    </row>
    <row r="60" ht="18" customHeight="1">
      <c r="B60">
        <f>IFERROR(SPARKLINE(FILTER('Bạc'!C6:C2500, 'Bạc'!C6:C2500&lt;&gt;""), {"charttype","line";"color","#4D4C48";"linewidth",2}), "")</f>
        <v/>
      </c>
      <c r="J60">
        <f>IFERROR(SPARKLINE(FILTER('GDP'!I6:I2500, 'GDP'!I6:I2500&lt;&gt;""), {"charttype","column";"color","#26A69A";"negcolor","#EF5350";"linewidth",2}), "")</f>
        <v/>
      </c>
    </row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>
      <c r="B68" s="20" t="inlineStr">
        <is>
          <t>Đầu kỳ</t>
        </is>
      </c>
      <c r="D68" s="20" t="inlineStr">
        <is>
          <t>Thấp nhất</t>
        </is>
      </c>
      <c r="F68" s="20" t="inlineStr">
        <is>
          <t>Cao nhất</t>
        </is>
      </c>
      <c r="H68" s="20" t="inlineStr">
        <is>
          <t>Mới nhất</t>
        </is>
      </c>
      <c r="J68" s="20" t="inlineStr">
        <is>
          <t>Đầu kỳ</t>
        </is>
      </c>
      <c r="L68" s="20" t="inlineStr">
        <is>
          <t>Thấp nhất</t>
        </is>
      </c>
      <c r="N68" s="20" t="inlineStr">
        <is>
          <t>Cao nhất</t>
        </is>
      </c>
      <c r="P68" s="20" t="inlineStr">
        <is>
          <t>Mới nhất</t>
        </is>
      </c>
    </row>
    <row r="69">
      <c r="B69" s="21">
        <f>IFERROR(INDEX(FILTER('Bạc'!C6:C2500, 'Bạc'!C6:C2500&lt;&gt;""), 1), "—")</f>
        <v/>
      </c>
      <c r="D69" s="21">
        <f>IFERROR(MIN('Bạc'!C6:C2500), "—")</f>
        <v/>
      </c>
      <c r="F69" s="21">
        <f>IFERROR(MAX('Bạc'!C6:C2500), "—")</f>
        <v/>
      </c>
      <c r="H69" s="21">
        <f>IFERROR(INDEX(FILTER('Bạc'!C6:C2500, 'Bạc'!C6:C2500&lt;&gt;""), COUNT('Bạc'!C6:C2500)), "—")</f>
        <v/>
      </c>
      <c r="J69" s="22">
        <f>IFERROR(INDEX(FILTER('GDP'!I6:I2500, 'GDP'!I6:I2500&lt;&gt;""), 1), "—")</f>
        <v/>
      </c>
      <c r="L69" s="22">
        <f>IFERROR(MIN('GDP'!I6:I2500), "—")</f>
        <v/>
      </c>
      <c r="N69" s="22">
        <f>IFERROR(MAX('GDP'!I6:I2500), "—")</f>
        <v/>
      </c>
      <c r="P69" s="22">
        <f>IFERROR(INDEX(FILTER('GDP'!I6:I2500, 'GDP'!I6:I2500&lt;&gt;""), COUNT('GDP'!I6:I2500)), "—")</f>
        <v/>
      </c>
    </row>
  </sheetData>
  <mergeCells count="64">
    <mergeCell ref="J6:L6"/>
    <mergeCell ref="B14:D14"/>
    <mergeCell ref="F5:H5"/>
    <mergeCell ref="J21:P28"/>
    <mergeCell ref="B8:D8"/>
    <mergeCell ref="N14:P14"/>
    <mergeCell ref="B17:D17"/>
    <mergeCell ref="F8:H8"/>
    <mergeCell ref="N5:P5"/>
    <mergeCell ref="B13:D13"/>
    <mergeCell ref="N17:P17"/>
    <mergeCell ref="N8:P8"/>
    <mergeCell ref="F17:H17"/>
    <mergeCell ref="B33:H33"/>
    <mergeCell ref="B47:H54"/>
    <mergeCell ref="J46:P46"/>
    <mergeCell ref="B20:H20"/>
    <mergeCell ref="B10:D10"/>
    <mergeCell ref="J7:L7"/>
    <mergeCell ref="J33:P33"/>
    <mergeCell ref="J16:L16"/>
    <mergeCell ref="N10:P10"/>
    <mergeCell ref="F13:H13"/>
    <mergeCell ref="N13:P13"/>
    <mergeCell ref="B21:H28"/>
    <mergeCell ref="J60:P67"/>
    <mergeCell ref="B9:D9"/>
    <mergeCell ref="N9:P9"/>
    <mergeCell ref="F9:H9"/>
    <mergeCell ref="B15:D15"/>
    <mergeCell ref="J12:L12"/>
    <mergeCell ref="J34:P41"/>
    <mergeCell ref="B6:D6"/>
    <mergeCell ref="B59:H59"/>
    <mergeCell ref="N6:P6"/>
    <mergeCell ref="B46:H46"/>
    <mergeCell ref="N15:P15"/>
    <mergeCell ref="B5:D5"/>
    <mergeCell ref="J59:P59"/>
    <mergeCell ref="F14:H14"/>
    <mergeCell ref="J8:L8"/>
    <mergeCell ref="B12:D12"/>
    <mergeCell ref="J17:L17"/>
    <mergeCell ref="B60:H67"/>
    <mergeCell ref="B7:D7"/>
    <mergeCell ref="B16:D16"/>
    <mergeCell ref="J5:L5"/>
    <mergeCell ref="F10:H10"/>
    <mergeCell ref="N7:P7"/>
    <mergeCell ref="F16:H16"/>
    <mergeCell ref="F6:H6"/>
    <mergeCell ref="J14:L14"/>
    <mergeCell ref="J10:L10"/>
    <mergeCell ref="N16:P16"/>
    <mergeCell ref="J13:L13"/>
    <mergeCell ref="N12:P12"/>
    <mergeCell ref="J47:P54"/>
    <mergeCell ref="B34:H41"/>
    <mergeCell ref="J20:P20"/>
    <mergeCell ref="F12:H12"/>
    <mergeCell ref="F7:H7"/>
    <mergeCell ref="J9:L9"/>
    <mergeCell ref="F15:H15"/>
    <mergeCell ref="J15:L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3" min="2" max="2"/>
    <col width="13" customWidth="1" style="23" min="3" max="3"/>
  </cols>
  <sheetData>
    <row r="1">
      <c r="A1" s="24" t="inlineStr">
        <is>
          <t>Giá vàng SJC — VND/lượng · nguồn 24h.com.vn / giavang.org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Giá mua</t>
        </is>
      </c>
      <c r="C5" s="26" t="inlineStr">
        <is>
          <t>Giá bán</t>
        </is>
      </c>
    </row>
    <row r="6">
      <c r="A6">
        <f>IF(VDV_STATUS&lt;&gt;"dataset", VDV_STATUS, IFERROR(ARRAYFORMULA(TEXT(FILTER(VDV_B, VDV_A="gold"), "yyyy-mm-dd")), ""))</f>
        <v/>
      </c>
      <c r="B6">
        <f>IFERROR(FILTER(VDV_C, VDV_A="gold"), "")</f>
        <v/>
      </c>
      <c r="C6">
        <f>IFERROR(FILTER(VDV_D, VDV_A="gold"), 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3" min="2" max="2"/>
    <col width="13" customWidth="1" style="23" min="3" max="3"/>
  </cols>
  <sheetData>
    <row r="1">
      <c r="A1" s="24" t="inlineStr">
        <is>
          <t>Giá bạc Phú Quý — VND/lượng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Giá mua</t>
        </is>
      </c>
      <c r="C5" s="26" t="inlineStr">
        <is>
          <t>Giá bán</t>
        </is>
      </c>
    </row>
    <row r="6">
      <c r="A6">
        <f>IF(VDV_STATUS&lt;&gt;"dataset", VDV_STATUS, IFERROR(ARRAYFORMULA(TEXT(FILTER(VDV_B, VDV_A="silver"), "yyyy-mm-dd")), ""))</f>
        <v/>
      </c>
      <c r="B6">
        <f>IFERROR(FILTER(VDV_C, VDV_A="silver"), "")</f>
        <v/>
      </c>
      <c r="C6">
        <f>IFERROR(FILTER(VDV_D, VDV_A="silver"), 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7" min="2" max="2"/>
    <col width="13" customWidth="1" style="27" min="3" max="3"/>
    <col width="13" customWidth="1" style="27" min="4" max="4"/>
    <col width="13" customWidth="1" style="27" min="5" max="5"/>
    <col width="13" customWidth="1" style="27" min="6" max="6"/>
    <col width="14" customWidth="1" style="27" min="7" max="7"/>
    <col width="15" customWidth="1" style="27" min="8" max="8"/>
  </cols>
  <sheetData>
    <row r="1">
      <c r="A1" s="24" t="inlineStr">
        <is>
          <t>Lãi suất liên ngân hàng &amp; điều hành NHNN — %/năm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Qua đêm</t>
        </is>
      </c>
      <c r="C5" s="26" t="inlineStr">
        <is>
          <t>1 tháng</t>
        </is>
      </c>
      <c r="D5" s="26" t="inlineStr">
        <is>
          <t>3 tháng</t>
        </is>
      </c>
      <c r="E5" s="26" t="inlineStr">
        <is>
          <t>6 tháng</t>
        </is>
      </c>
      <c r="F5" s="26" t="inlineStr">
        <is>
          <t>9 tháng</t>
        </is>
      </c>
      <c r="G5" s="26" t="inlineStr">
        <is>
          <t>Chiết khấu</t>
        </is>
      </c>
      <c r="H5" s="26" t="inlineStr">
        <is>
          <t>Tái cấp vốn</t>
        </is>
      </c>
    </row>
    <row r="6">
      <c r="A6">
        <f>IF(VDV_STATUS&lt;&gt;"dataset", VDV_STATUS, IFERROR(ARRAYFORMULA(TEXT(FILTER(VDV_B, VDV_A="interbank"), "yyyy-mm-dd")), ""))</f>
        <v/>
      </c>
      <c r="B6">
        <f>IFERROR(FILTER(VDV_C, VDV_A="interbank"), "")</f>
        <v/>
      </c>
      <c r="C6">
        <f>IFERROR(FILTER(VDV_D, VDV_A="interbank"), "")</f>
        <v/>
      </c>
      <c r="D6">
        <f>IFERROR(FILTER(VDV_E, VDV_A="interbank"), "")</f>
        <v/>
      </c>
      <c r="E6">
        <f>IFERROR(FILTER(VDV_F, VDV_A="interbank"), "")</f>
        <v/>
      </c>
      <c r="F6">
        <f>IFERROR(FILTER(VDV_G, VDV_A="interbank"), "")</f>
        <v/>
      </c>
      <c r="G6">
        <f>IFERROR(FILTER(VDV_H, VDV_A="interbank"), "")</f>
        <v/>
      </c>
      <c r="H6">
        <f>IFERROR(FILTER(VDV_I, VDV_A="interbank"), 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style="23" min="2" max="2"/>
  </cols>
  <sheetData>
    <row r="1">
      <c r="A1" s="24" t="inlineStr">
        <is>
          <t>Tỷ giá trung tâm USD/VND — NHNN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Tỷ giá trung tâm</t>
        </is>
      </c>
    </row>
    <row r="6">
      <c r="A6">
        <f>IF(VDV_STATUS&lt;&gt;"dataset", VDV_STATUS, IFERROR(ARRAYFORMULA(TEXT(FILTER(VDV_B, VDV_A="fx"), "yyyy-mm-dd")), ""))</f>
        <v/>
      </c>
      <c r="B6">
        <f>IFERROR(FILTER(VDV_C, VDV_A="fx"), 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7" min="2" max="2"/>
    <col width="13" customWidth="1" style="27" min="3" max="3"/>
    <col width="13" customWidth="1" style="27" min="4" max="4"/>
    <col width="13" customWidth="1" style="27" min="5" max="5"/>
    <col width="13" customWidth="1" style="27" min="6" max="6"/>
  </cols>
  <sheetData>
    <row r="1">
      <c r="A1" s="24" t="inlineStr">
        <is>
          <t>Lãi suất tiền gửi ACB theo kỳ hạn — %/năm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1 tháng</t>
        </is>
      </c>
      <c r="C5" s="26" t="inlineStr">
        <is>
          <t>3 tháng</t>
        </is>
      </c>
      <c r="D5" s="26" t="inlineStr">
        <is>
          <t>6 tháng</t>
        </is>
      </c>
      <c r="E5" s="26" t="inlineStr">
        <is>
          <t>12 tháng</t>
        </is>
      </c>
      <c r="F5" s="26" t="inlineStr">
        <is>
          <t>24 tháng</t>
        </is>
      </c>
    </row>
    <row r="6">
      <c r="A6">
        <f>IF(VDV_STATUS&lt;&gt;"dataset", VDV_STATUS, IFERROR(ARRAYFORMULA(TEXT(FILTER(VDV_B, VDV_A="deposit"), "yyyy-mm-dd")), ""))</f>
        <v/>
      </c>
      <c r="B6">
        <f>IFERROR(FILTER(VDV_C, VDV_A="deposit"), "")</f>
        <v/>
      </c>
      <c r="C6">
        <f>IFERROR(FILTER(VDV_D, VDV_A="deposit"), "")</f>
        <v/>
      </c>
      <c r="D6">
        <f>IFERROR(FILTER(VDV_E, VDV_A="deposit"), "")</f>
        <v/>
      </c>
      <c r="E6">
        <f>IFERROR(FILTER(VDV_F, VDV_A="deposit"), "")</f>
        <v/>
      </c>
      <c r="F6">
        <f>IFERROR(FILTER(VDV_G, VDV_A="deposit"), 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style="28" min="2" max="2"/>
    <col width="16" customWidth="1" style="29" min="3" max="3"/>
    <col width="13" customWidth="1" style="23" min="4" max="4"/>
  </cols>
  <sheetData>
    <row r="1">
      <c r="A1" s="24" t="inlineStr">
        <is>
          <t>Thị trường thế giới — vàng, bạc (USD/oz), NASDAQ (điểm)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Vàng (USD/oz)</t>
        </is>
      </c>
      <c r="C5" s="26" t="inlineStr">
        <is>
          <t>Bạc (USD/oz)</t>
        </is>
      </c>
      <c r="D5" s="26" t="inlineStr">
        <is>
          <t>NASDAQ</t>
        </is>
      </c>
    </row>
    <row r="6">
      <c r="A6">
        <f>IF(VDV_STATUS&lt;&gt;"dataset", VDV_STATUS, IFERROR(ARRAYFORMULA(TEXT(FILTER(VDV_B, VDV_A="global"), "yyyy-mm-dd")), ""))</f>
        <v/>
      </c>
      <c r="B6">
        <f>IFERROR(FILTER(VDV_C, VDV_A="global"), "")</f>
        <v/>
      </c>
      <c r="C6">
        <f>IFERROR(FILTER(VDV_D, VDV_A="global"), "")</f>
        <v/>
      </c>
      <c r="D6">
        <f>IFERROR(FILTER(VDV_E, VDV_A="global"), 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style="27" min="2" max="2"/>
    <col width="18" customWidth="1" style="27" min="3" max="3"/>
  </cols>
  <sheetData>
    <row r="1">
      <c r="A1" s="24" t="inlineStr">
        <is>
          <t>Chỉ số giá tiêu dùng — % · nguồn Tổng cục Thống kê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Kỳ</t>
        </is>
      </c>
      <c r="B5" s="26" t="inlineStr">
        <is>
          <t>So tháng trước (%)</t>
        </is>
      </c>
      <c r="C5" s="26" t="inlineStr">
        <is>
          <t>So cùng kỳ (%)</t>
        </is>
      </c>
    </row>
    <row r="6">
      <c r="A6">
        <f>IF(VDV_STATUS&lt;&gt;"dataset", VDV_STATUS, IFERROR(ARRAYFORMULA(TEXT(FILTER(VDV_B, VDV_A="cpi"), "yyyy-mm")), ""))</f>
        <v/>
      </c>
      <c r="B6">
        <f>IFERROR(FILTER(VDV_C, VDV_A="cpi"), "")</f>
        <v/>
      </c>
      <c r="C6">
        <f>IFERROR(FILTER(VDV_D, VDV_A="cpi"), 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style="30" min="1" max="1"/>
    <col width="13" customWidth="1" style="30" min="2" max="2"/>
    <col width="13" customWidth="1" min="3" max="3"/>
    <col width="19" customWidth="1" style="27" min="4" max="4"/>
    <col width="11" customWidth="1" min="8" max="8"/>
    <col width="20" customWidth="1" min="9" max="9"/>
  </cols>
  <sheetData>
    <row r="1">
      <c r="A1" s="24" t="inlineStr">
        <is>
          <t>Tăng trưởng GDP theo quý và khu vực — % so cùng kỳ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Năm</t>
        </is>
      </c>
      <c r="B5" s="26" t="inlineStr">
        <is>
          <t>Quý</t>
        </is>
      </c>
      <c r="C5" s="26" t="inlineStr">
        <is>
          <t>Khu vực</t>
        </is>
      </c>
      <c r="D5" s="26" t="inlineStr">
        <is>
          <t>Tăng trưởng (%)</t>
        </is>
      </c>
      <c r="H5" s="31" t="inlineStr">
        <is>
          <t>Quý</t>
        </is>
      </c>
      <c r="I5" s="31" t="inlineStr">
        <is>
          <t>GDP toàn nền KT (%)</t>
        </is>
      </c>
    </row>
    <row r="6">
      <c r="A6">
        <f>IF(VDV_STATUS&lt;&gt;"dataset", VDV_STATUS, IFERROR(FILTER(VDV_B, VDV_A="gdp"), ""))</f>
        <v/>
      </c>
      <c r="B6">
        <f>IFERROR(FILTER(VDV_C, VDV_A="gdp"), "")</f>
        <v/>
      </c>
      <c r="C6">
        <f>IFERROR(ARRAYFORMULA(SUBSTITUTE(SUBSTITUTE(SUBSTITUTE(SUBSTITUTE(FILTER(VDV_D, VDV_A="gdp"), "agriculture", "Nông-lâm-thủy sản"), "industry", "Công nghiệp-xây dựng"), "services", "Dịch vụ"), "total", "Toàn nền kinh tế")), "")</f>
        <v/>
      </c>
      <c r="D6">
        <f>IFERROR(FILTER(VDV_F, VDV_A="gdp"), "")</f>
        <v/>
      </c>
      <c r="H6">
        <f>IFERROR(ARRAYFORMULA(FILTER(VDV_B&amp;"-Q"&amp;VDV_C, VDV_A="gdp", VDV_D="total")), "")</f>
        <v/>
      </c>
      <c r="I6">
        <f>IFERROR(FILTER(VDV_F, VDV_A="gdp", VDV_D="total"), 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style="27" min="2" max="2"/>
    <col width="22" customWidth="1" style="27" min="3" max="3"/>
    <col width="13" customWidth="1" style="27" min="4" max="4"/>
    <col width="21" customWidth="1" style="32" min="5" max="5"/>
    <col width="21" customWidth="1" style="32" min="6" max="6"/>
  </cols>
  <sheetData>
    <row r="1">
      <c r="A1" s="24" t="inlineStr">
        <is>
          <t>Kim ngạch xuất nhập khẩu — tỷ USD · nguồn Tổng cục Thống kê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Kỳ</t>
        </is>
      </c>
      <c r="B5" s="26" t="inlineStr">
        <is>
          <t>Xuất khẩu (tỷ USD)</t>
        </is>
      </c>
      <c r="C5" s="26" t="inlineStr">
        <is>
          <t>Nhập khẩu (tỷ USD)</t>
        </is>
      </c>
      <c r="D5" s="26" t="inlineStr">
        <is>
          <t>Cán cân</t>
        </is>
      </c>
      <c r="E5" s="26" t="inlineStr">
        <is>
          <t>XK so cùng kỳ (%)</t>
        </is>
      </c>
      <c r="F5" s="26" t="inlineStr">
        <is>
          <t>NK so cùng kỳ (%)</t>
        </is>
      </c>
    </row>
    <row r="6">
      <c r="A6">
        <f>IF(VDV_STATUS&lt;&gt;"dataset", VDV_STATUS, IFERROR(ARRAYFORMULA(TEXT(FILTER(VDV_B, VDV_A="trade"), "yyyy-mm")), ""))</f>
        <v/>
      </c>
      <c r="B6">
        <f>IFERROR(FILTER(VDV_C, VDV_A="trade"), "")</f>
        <v/>
      </c>
      <c r="C6">
        <f>IFERROR(FILTER(VDV_D, VDV_A="trade"), "")</f>
        <v/>
      </c>
      <c r="D6">
        <f>IFERROR(FILTER(VDV_E, VDV_A="trade"), "")</f>
        <v/>
      </c>
      <c r="E6">
        <f>IFERROR(FILTER(VDV_F, VDV_A="trade"), "")</f>
        <v/>
      </c>
      <c r="F6">
        <f>IFERROR(FILTER(VDV_G, VDV_A="trade"), 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IF('Bắt đầu'!$C$6="","Dán API key vào ô C6 của tab Bắt đầu",IFERROR(IMPORTDATA("https://api.vietdataverse.online/api/v1/excel/refresh-data?format=csv&amp;period="&amp;'Bắt đầu'!$C$8&amp;"&amp;api_key="&amp;'Bắt đầu'!$C$6&amp;"&amp;_r="&amp;'Bắt đầu'!$C$7, ",", "en_US"),"Không lấy được dữ liệu. Thường là đã hết lượt API của tháng — nâng gói tại https://vietdataverse.online/pages/pricing.html (hạn mức mới có hiệu lực ngay), hoặc kiểm tra lại API key ở ô C6."))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2026-10-03T15:54:44Z</dcterms:created>
  <dcterms:modified xmlns:dcterms="http://purl.org/dc/terms/" xmlns:xsi="http://www.w3.org/2001/XMLSchema-instance" xsi:type="dcterms:W3CDTF">2026-10-03T15:54:44Z</dcterms:modified>
</cp:coreProperties>
</file>