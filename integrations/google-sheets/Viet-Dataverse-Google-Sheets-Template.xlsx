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ắt đầu" sheetId="1" state="visible" r:id="rId1"/>
    <sheet xmlns:r="http://schemas.openxmlformats.org/officeDocument/2006/relationships" name="Vàng SJC" sheetId="2" state="visible" r:id="rId2"/>
    <sheet xmlns:r="http://schemas.openxmlformats.org/officeDocument/2006/relationships" name="Bạc" sheetId="3" state="visible" r:id="rId3"/>
    <sheet xmlns:r="http://schemas.openxmlformats.org/officeDocument/2006/relationships" name="Lãi suất LNH" sheetId="4" state="visible" r:id="rId4"/>
    <sheet xmlns:r="http://schemas.openxmlformats.org/officeDocument/2006/relationships" name="Tỷ giá" sheetId="5" state="visible" r:id="rId5"/>
    <sheet xmlns:r="http://schemas.openxmlformats.org/officeDocument/2006/relationships" name="Tiền gửi ACB" sheetId="6" state="visible" r:id="rId6"/>
    <sheet xmlns:r="http://schemas.openxmlformats.org/officeDocument/2006/relationships" name="Thế giới" sheetId="7" state="visible" r:id="rId7"/>
    <sheet xmlns:r="http://schemas.openxmlformats.org/officeDocument/2006/relationships" name="CPI" sheetId="8" state="visible" r:id="rId8"/>
    <sheet xmlns:r="http://schemas.openxmlformats.org/officeDocument/2006/relationships" name="GDP" sheetId="9" state="visible" r:id="rId9"/>
    <sheet xmlns:r="http://schemas.openxmlformats.org/officeDocument/2006/relationships" name="Xuất nhập khẩu" sheetId="10" state="visible" r:id="rId10"/>
    <sheet xmlns:r="http://schemas.openxmlformats.org/officeDocument/2006/relationships" name="_dữ liệu thô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Georgia"/>
      <b val="1"/>
      <color rgb="00141413"/>
      <sz val="18"/>
    </font>
    <font>
      <color rgb="005E5D59"/>
      <sz val="11"/>
    </font>
    <font>
      <b val="1"/>
      <color rgb="002F5FDE"/>
      <sz val="12"/>
    </font>
    <font>
      <b val="1"/>
      <color rgb="00141413"/>
      <sz val="12"/>
    </font>
    <font>
      <b val="1"/>
      <color rgb="00141413"/>
      <sz val="11"/>
    </font>
    <font>
      <b val="1"/>
      <color rgb="00141413"/>
      <sz val="10"/>
    </font>
    <font>
      <b val="1"/>
      <color rgb="002F5FDE"/>
      <sz val="10"/>
    </font>
    <font>
      <i val="1"/>
      <color rgb="005E5D59"/>
      <sz val="9"/>
    </font>
    <font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EEF2FF"/>
      </patternFill>
    </fill>
    <fill>
      <patternFill patternType="solid">
        <fgColor rgb="00FFF8DC"/>
      </patternFill>
    </fill>
    <fill>
      <patternFill patternType="solid">
        <fgColor rgb="002F5FDE"/>
      </patternFill>
    </fill>
  </fills>
  <borders count="2">
    <border>
      <left/>
      <right/>
      <top/>
      <bottom/>
      <diagonal/>
    </border>
    <border>
      <left style="medium">
        <color rgb="002F5FDE"/>
      </left>
      <right style="medium">
        <color rgb="002F5FDE"/>
      </right>
      <top style="medium">
        <color rgb="002F5FDE"/>
      </top>
      <bottom style="medium">
        <color rgb="002F5FDE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1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Vàng SJC</a:t>
            </a:r>
          </a:p>
        </rich>
      </tx>
    </title>
    <plotArea>
      <lineChart>
        <grouping val="standard"/>
        <ser>
          <idx val="0"/>
          <order val="0"/>
          <tx>
            <strRef>
              <f>'Vàng SJC'!B3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'Vàng SJC'!$A$4:$A$2000</f>
            </numRef>
          </cat>
          <val>
            <numRef>
              <f>'Vàng SJC'!$B$4:$B$2000</f>
            </numRef>
          </val>
        </ser>
        <ser>
          <idx val="1"/>
          <order val="1"/>
          <tx>
            <strRef>
              <f>'Vàng SJC'!C3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'Vàng SJC'!$A$4:$A$2000</f>
            </numRef>
          </cat>
          <val>
            <numRef>
              <f>'Vàng SJC'!$C$4:$C$2000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VND/lượng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Bạc</a:t>
            </a:r>
          </a:p>
        </rich>
      </tx>
    </title>
    <plotArea>
      <lineChart>
        <grouping val="standard"/>
        <ser>
          <idx val="0"/>
          <order val="0"/>
          <tx>
            <strRef>
              <f>'Bạc'!B3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'Bạc'!$A$4:$A$2000</f>
            </numRef>
          </cat>
          <val>
            <numRef>
              <f>'Bạc'!$B$4:$B$2000</f>
            </numRef>
          </val>
        </ser>
        <ser>
          <idx val="1"/>
          <order val="1"/>
          <tx>
            <strRef>
              <f>'Bạc'!C3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'Bạc'!$A$4:$A$2000</f>
            </numRef>
          </cat>
          <val>
            <numRef>
              <f>'Bạc'!$C$4:$C$2000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VND/lượng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Lãi suất LNH</a:t>
            </a:r>
          </a:p>
        </rich>
      </tx>
    </title>
    <plotArea>
      <lineChart>
        <grouping val="standard"/>
        <ser>
          <idx val="0"/>
          <order val="0"/>
          <tx>
            <strRef>
              <f>'Lãi suất LNH'!B3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LNH'!$A$4:$A$2000</f>
            </numRef>
          </cat>
          <val>
            <numRef>
              <f>'Lãi suất LNH'!$B$4:$B$2000</f>
            </numRef>
          </val>
        </ser>
        <ser>
          <idx val="1"/>
          <order val="1"/>
          <tx>
            <strRef>
              <f>'Lãi suất LNH'!C3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LNH'!$A$4:$A$2000</f>
            </numRef>
          </cat>
          <val>
            <numRef>
              <f>'Lãi suất LNH'!$C$4:$C$2000</f>
            </numRef>
          </val>
        </ser>
        <ser>
          <idx val="2"/>
          <order val="2"/>
          <tx>
            <strRef>
              <f>'Lãi suất LNH'!D3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LNH'!$A$4:$A$2000</f>
            </numRef>
          </cat>
          <val>
            <numRef>
              <f>'Lãi suất LNH'!$D$4:$D$2000</f>
            </numRef>
          </val>
        </ser>
        <ser>
          <idx val="3"/>
          <order val="3"/>
          <tx>
            <strRef>
              <f>'Lãi suất LNH'!E3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LNH'!$A$4:$A$2000</f>
            </numRef>
          </cat>
          <val>
            <numRef>
              <f>'Lãi suất LNH'!$E$4:$E$2000</f>
            </numRef>
          </val>
        </ser>
        <ser>
          <idx val="4"/>
          <order val="4"/>
          <tx>
            <strRef>
              <f>'Lãi suất LNH'!F3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LNH'!$A$4:$A$2000</f>
            </numRef>
          </cat>
          <val>
            <numRef>
              <f>'Lãi suất LNH'!$F$4:$F$2000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%/năm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Tỷ giá</a:t>
            </a:r>
          </a:p>
        </rich>
      </tx>
    </title>
    <plotArea>
      <lineChart>
        <grouping val="standard"/>
        <ser>
          <idx val="0"/>
          <order val="0"/>
          <tx>
            <strRef>
              <f>'Tỷ giá'!B3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'Tỷ giá'!$A$4:$A$2000</f>
            </numRef>
          </cat>
          <val>
            <numRef>
              <f>'Tỷ giá'!$B$4:$B$2000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Tiền gửi ACB</a:t>
            </a:r>
          </a:p>
        </rich>
      </tx>
    </title>
    <plotArea>
      <lineChart>
        <grouping val="standard"/>
        <ser>
          <idx val="0"/>
          <order val="0"/>
          <tx>
            <strRef>
              <f>'Tiền gửi ACB'!B3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ACB'!$A$4:$A$2000</f>
            </numRef>
          </cat>
          <val>
            <numRef>
              <f>'Tiền gửi ACB'!$B$4:$B$2000</f>
            </numRef>
          </val>
        </ser>
        <ser>
          <idx val="1"/>
          <order val="1"/>
          <tx>
            <strRef>
              <f>'Tiền gửi ACB'!C3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ACB'!$A$4:$A$2000</f>
            </numRef>
          </cat>
          <val>
            <numRef>
              <f>'Tiền gửi ACB'!$C$4:$C$2000</f>
            </numRef>
          </val>
        </ser>
        <ser>
          <idx val="2"/>
          <order val="2"/>
          <tx>
            <strRef>
              <f>'Tiền gửi ACB'!D3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ACB'!$A$4:$A$2000</f>
            </numRef>
          </cat>
          <val>
            <numRef>
              <f>'Tiền gửi ACB'!$D$4:$D$2000</f>
            </numRef>
          </val>
        </ser>
        <ser>
          <idx val="3"/>
          <order val="3"/>
          <tx>
            <strRef>
              <f>'Tiền gửi ACB'!E3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ACB'!$A$4:$A$2000</f>
            </numRef>
          </cat>
          <val>
            <numRef>
              <f>'Tiền gửi ACB'!$E$4:$E$2000</f>
            </numRef>
          </val>
        </ser>
        <ser>
          <idx val="4"/>
          <order val="4"/>
          <tx>
            <strRef>
              <f>'Tiền gửi ACB'!F3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ACB'!$A$4:$A$2000</f>
            </numRef>
          </cat>
          <val>
            <numRef>
              <f>'Tiền gửi ACB'!$F$4:$F$2000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%/năm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Thế giới</a:t>
            </a:r>
          </a:p>
        </rich>
      </tx>
    </title>
    <plotArea>
      <lineChart>
        <grouping val="standard"/>
        <ser>
          <idx val="0"/>
          <order val="0"/>
          <tx>
            <strRef>
              <f>'Thế giới'!B3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'Thế giới'!$A$4:$A$2000</f>
            </numRef>
          </cat>
          <val>
            <numRef>
              <f>'Thế giới'!$B$4:$B$2000</f>
            </numRef>
          </val>
        </ser>
        <ser>
          <idx val="1"/>
          <order val="1"/>
          <tx>
            <strRef>
              <f>'Thế giới'!C3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'Thế giới'!$A$4:$A$2000</f>
            </numRef>
          </cat>
          <val>
            <numRef>
              <f>'Thế giới'!$C$4:$C$2000</f>
            </numRef>
          </val>
        </ser>
        <ser>
          <idx val="2"/>
          <order val="2"/>
          <tx>
            <strRef>
              <f>'Thế giới'!D3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'Thế giới'!$A$4:$A$2000</f>
            </numRef>
          </cat>
          <val>
            <numRef>
              <f>'Thế giới'!$D$4:$D$2000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</a:t>
            </a:r>
          </a:p>
        </rich>
      </tx>
    </title>
    <plotArea>
      <lineChart>
        <grouping val="standard"/>
        <ser>
          <idx val="0"/>
          <order val="0"/>
          <tx>
            <strRef>
              <f>'CPI'!B3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'CPI'!$A$4:$A$2000</f>
            </numRef>
          </cat>
          <val>
            <numRef>
              <f>'CPI'!$B$4:$B$2000</f>
            </numRef>
          </val>
        </ser>
        <ser>
          <idx val="1"/>
          <order val="1"/>
          <tx>
            <strRef>
              <f>'CPI'!C3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'CPI'!$A$4:$A$2000</f>
            </numRef>
          </cat>
          <val>
            <numRef>
              <f>'CPI'!$C$4:$C$2000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Xuất nhập khẩu</a:t>
            </a:r>
          </a:p>
        </rich>
      </tx>
    </title>
    <plotArea>
      <lineChart>
        <grouping val="standard"/>
        <ser>
          <idx val="0"/>
          <order val="0"/>
          <tx>
            <strRef>
              <f>'Xuất nhập khẩu'!B3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'Xuất nhập khẩu'!$A$4:$A$2000</f>
            </numRef>
          </cat>
          <val>
            <numRef>
              <f>'Xuất nhập khẩu'!$B$4:$B$2000</f>
            </numRef>
          </val>
        </ser>
        <ser>
          <idx val="1"/>
          <order val="1"/>
          <tx>
            <strRef>
              <f>'Xuất nhập khẩu'!C3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'Xuất nhập khẩu'!$A$4:$A$2000</f>
            </numRef>
          </cat>
          <val>
            <numRef>
              <f>'Xuất nhập khẩu'!$C$4:$C$2000</f>
            </numRef>
          </val>
        </ser>
        <ser>
          <idx val="2"/>
          <order val="2"/>
          <tx>
            <strRef>
              <f>'Xuất nhập khẩu'!D3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'Xuất nhập khẩu'!$A$4:$A$2000</f>
            </numRef>
          </cat>
          <val>
            <numRef>
              <f>'Xuất nhập khẩu'!$D$4:$D$2000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62" customWidth="1" min="3" max="3"/>
  </cols>
  <sheetData>
    <row r="2">
      <c r="B2" s="1" t="inlineStr">
        <is>
          <t>Viet Dataverse — Dữ liệu kinh tế Việt Nam</t>
        </is>
      </c>
    </row>
    <row r="3">
      <c r="B3" s="2" t="inlineStr">
        <is>
          <t>Chín bộ dữ liệu vĩ mô &amp; thị trường Việt Nam.</t>
        </is>
      </c>
    </row>
    <row r="5">
      <c r="B5" s="3" t="inlineStr">
        <is>
          <t>CHỈ CÓ MỘT BƯỚC</t>
        </is>
      </c>
    </row>
    <row r="6">
      <c r="B6" s="4" t="inlineStr">
        <is>
          <t>Dán API key của bạn vào ô bên phải  →</t>
        </is>
      </c>
      <c r="C6" s="5" t="n"/>
    </row>
    <row r="7">
      <c r="B7" s="4" t="inlineStr">
        <is>
          <t>Làm mới ngay</t>
        </is>
      </c>
      <c r="C7" s="5" t="n">
        <v>1</v>
      </c>
    </row>
    <row r="9" ht="32" customHeight="1">
      <c r="B9" s="6" t="inlineStr">
        <is>
          <t>Xong.</t>
        </is>
      </c>
      <c r="C9" s="7" t="inlineStr">
        <is>
          <t>Chín tab bên dưới tự đổ dữ liệu, mỗi tab có biểu đồ và ngày dữ liệu mới nhất.</t>
        </is>
      </c>
    </row>
    <row r="10" ht="32" customHeight="1">
      <c r="B10" s="6" t="inlineStr">
        <is>
          <t>Chưa có key?</t>
        </is>
      </c>
      <c r="C10" s="7" t="inlineStr">
        <is>
          <t>Lấy miễn phí tại https://vietdataverse.online/pages/developer.html</t>
        </is>
      </c>
    </row>
    <row r="11" ht="32" customHeight="1">
      <c r="B11" s="6" t="inlineStr">
        <is>
          <t>Làm mới</t>
        </is>
      </c>
      <c r="C11" s="7" t="inlineStr">
        <is>
          <t>Tăng số ở ô C7 (1 → 2 → 3…). Tải lại trang KHÔNG làm mới — Google giữ cache ~1 giờ.</t>
        </is>
      </c>
    </row>
    <row r="12" ht="32" customHeight="1">
      <c r="B12" s="6" t="inlineStr">
        <is>
          <t>Hạn mức</t>
        </is>
      </c>
      <c r="C12" s="7" t="inlineStr">
        <is>
          <t>Cả file chỉ tốn 1 lượt API mỗi lần làm mới (không phải 9). Miễn phí 20 lượt/tháng; gói trả phí 1.000 lượt/tháng.</t>
        </is>
      </c>
    </row>
    <row r="13" ht="32" customHeight="1">
      <c r="B13" s="6" t="inlineStr">
        <is>
          <t>Đổi khoảng thời gian</t>
        </is>
      </c>
      <c r="C13" s="7" t="inlineStr">
        <is>
          <t>Sửa period=1y trong công thức ô A1 của tab "_dữ liệu thô" (7d, 1m, 1y, all).</t>
        </is>
      </c>
    </row>
    <row r="14" ht="32" customHeight="1">
      <c r="B14" s="6" t="inlineStr">
        <is>
          <t>Bảo mật</t>
        </is>
      </c>
      <c r="C14" s="7" t="inlineStr">
        <is>
          <t>Key nằm trong ô C6 của bản copy của bạn. Đừng chia sẻ file này cho người lạ.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Ngày</t>
        </is>
      </c>
      <c r="B3" s="11" t="inlineStr">
        <is>
          <t>Giá mua</t>
        </is>
      </c>
      <c r="C3" s="11" t="inlineStr">
        <is>
          <t>Giá bán</t>
        </is>
      </c>
    </row>
    <row r="4">
      <c r="A4">
        <f>IFERROR(QUERY('_dữ liệu thô'!A:I, "select Col2, Col3, Col4 where Col1 = 'gold'", 0), 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Ngày</t>
        </is>
      </c>
      <c r="B3" s="11" t="inlineStr">
        <is>
          <t>Giá mua</t>
        </is>
      </c>
      <c r="C3" s="11" t="inlineStr">
        <is>
          <t>Giá bán</t>
        </is>
      </c>
    </row>
    <row r="4">
      <c r="A4">
        <f>IFERROR(QUERY('_dữ liệu thô'!A:I, "select Col2, Col3, Col4 where Col1 = 'silver'", 0), 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Ngày</t>
        </is>
      </c>
      <c r="B3" s="11" t="inlineStr">
        <is>
          <t>Qua đêm</t>
        </is>
      </c>
      <c r="C3" s="11" t="inlineStr">
        <is>
          <t>1 tháng</t>
        </is>
      </c>
      <c r="D3" s="11" t="inlineStr">
        <is>
          <t>3 tháng</t>
        </is>
      </c>
      <c r="E3" s="11" t="inlineStr">
        <is>
          <t>6 tháng</t>
        </is>
      </c>
      <c r="F3" s="11" t="inlineStr">
        <is>
          <t>9 tháng</t>
        </is>
      </c>
      <c r="G3" s="11" t="inlineStr">
        <is>
          <t>Chiết khấu</t>
        </is>
      </c>
      <c r="H3" s="11" t="inlineStr">
        <is>
          <t>Tái cấp vốn</t>
        </is>
      </c>
    </row>
    <row r="4">
      <c r="A4">
        <f>IFERROR(QUERY('_dữ liệu thô'!A:I, "select Col2, Col3, Col4, Col5, Col6, Col7, Col8, Col9 where Col1 = 'interbank'", 0), 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15" customWidth="1" min="3" max="3"/>
    <col width="13" customWidth="1" min="4" max="4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Ngày</t>
        </is>
      </c>
      <c r="B3" s="11" t="inlineStr">
        <is>
          <t>Tỷ giá trung tâm</t>
        </is>
      </c>
      <c r="C3" s="11" t="inlineStr">
        <is>
          <t>Mua tiền mặt</t>
        </is>
      </c>
      <c r="D3" s="11" t="inlineStr">
        <is>
          <t>Bán</t>
        </is>
      </c>
    </row>
    <row r="4">
      <c r="A4">
        <f>IFERROR(QUERY('_dữ liệu thô'!A:I, "select Col2, Col3, Col4, Col5 where Col1 = 'fx'", 0), 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Ngày</t>
        </is>
      </c>
      <c r="B3" s="11" t="inlineStr">
        <is>
          <t>1 tháng</t>
        </is>
      </c>
      <c r="C3" s="11" t="inlineStr">
        <is>
          <t>3 tháng</t>
        </is>
      </c>
      <c r="D3" s="11" t="inlineStr">
        <is>
          <t>6 tháng</t>
        </is>
      </c>
      <c r="E3" s="11" t="inlineStr">
        <is>
          <t>12 tháng</t>
        </is>
      </c>
      <c r="F3" s="11" t="inlineStr">
        <is>
          <t>24 tháng</t>
        </is>
      </c>
    </row>
    <row r="4">
      <c r="A4">
        <f>IFERROR(QUERY('_dữ liệu thô'!A:I, "select Col2, Col3, Col4, Col5, Col6, Col7 where Col1 = 'deposit'", 0), 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5" customWidth="1" min="3" max="3"/>
    <col width="13" customWidth="1" min="4" max="4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Ngày</t>
        </is>
      </c>
      <c r="B3" s="11" t="inlineStr">
        <is>
          <t>Vàng (USD/oz)</t>
        </is>
      </c>
      <c r="C3" s="11" t="inlineStr">
        <is>
          <t>Bạc (USD/oz)</t>
        </is>
      </c>
      <c r="D3" s="11" t="inlineStr">
        <is>
          <t>NASDAQ</t>
        </is>
      </c>
    </row>
    <row r="4">
      <c r="A4">
        <f>IFERROR(QUERY('_dữ liệu thô'!A:I, "select Col2, Col3, Col4, Col5 where Col1 = 'global'", 0), 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1" customWidth="1" min="2" max="2"/>
    <col width="17" customWidth="1" min="3" max="3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Kỳ</t>
        </is>
      </c>
      <c r="B3" s="11" t="inlineStr">
        <is>
          <t>So tháng trước (%)</t>
        </is>
      </c>
      <c r="C3" s="11" t="inlineStr">
        <is>
          <t>So cùng kỳ (%)</t>
        </is>
      </c>
    </row>
    <row r="4">
      <c r="A4">
        <f>IFERROR(QUERY('_dữ liệu thô'!A:I, "select Col2, Col3, Col4 where Col1 = 'cpi'", 0), 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5" customWidth="1" min="4" max="4"/>
    <col width="18" customWidth="1" min="5" max="5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Năm</t>
        </is>
      </c>
      <c r="B3" s="11" t="inlineStr">
        <is>
          <t>Quý</t>
        </is>
      </c>
      <c r="C3" s="11" t="inlineStr">
        <is>
          <t>Khu vực</t>
        </is>
      </c>
      <c r="D3" s="11" t="inlineStr">
        <is>
          <t>GDP (tỷ VND)</t>
        </is>
      </c>
      <c r="E3" s="11" t="inlineStr">
        <is>
          <t>Tăng trưởng (%)</t>
        </is>
      </c>
    </row>
    <row r="4">
      <c r="A4">
        <f>IFERROR(QUERY('_dữ liệu thô'!A:I, "select Col2, Col3, Col4, Col5, Col6 where Col1 = 'gdp'", 0), 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3" customWidth="1" min="4" max="4"/>
    <col width="17" customWidth="1" min="5" max="5"/>
    <col width="17" customWidth="1" min="6" max="6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Kỳ</t>
        </is>
      </c>
      <c r="B3" s="11" t="inlineStr">
        <is>
          <t>Xuất (tỷ USD)</t>
        </is>
      </c>
      <c r="C3" s="11" t="inlineStr">
        <is>
          <t>Nhập (tỷ USD)</t>
        </is>
      </c>
      <c r="D3" s="11" t="inlineStr">
        <is>
          <t>Cán cân</t>
        </is>
      </c>
      <c r="E3" s="11" t="inlineStr">
        <is>
          <t>XK cùng kỳ (%)</t>
        </is>
      </c>
      <c r="F3" s="11" t="inlineStr">
        <is>
          <t>NK cùng kỳ (%)</t>
        </is>
      </c>
    </row>
    <row r="4">
      <c r="A4">
        <f>IFERROR(QUERY('_dữ liệu thô'!A:I, "select Col2, Col3, Col4, Col5, Col6, Col7 where Col1 = 'trade'", 0), 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>
        <f>IF('Bắt đầu'!$C$6="","Dán API key vào ô C6 của tab Bắt đầu",IFERROR(IMPORTDATA("https://api.vietdataverse.online/api/v1/excel/refresh-data?period=1y&amp;format=csv&amp;api_key="&amp;'Bắt đầu'!$C$6),"Không lấy được dữ liệu. Thường là đã hết lượt API của tháng — nâng gói tại https://vietdataverse.online/pages/pricing.html (hạn mức mới có hiệu lực ngay), hoặc kiểm tra lại API key ở ô C6."))</f>
        <v/>
      </c>
      <c r="K1" s="10" t="inlineStr">
        <is>
          <t>Tab kỹ thuật — đừng sửa. Đây là lượt gọi API DUY NHẤT của cả file; chín tab kia đọc lại từ đây bằng QUERY nên không tốn thêm lượt nào.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2026-09-29T04:03:11Z</dcterms:created>
  <dcterms:modified xmlns:dcterms="http://purl.org/dc/terms/" xmlns:xsi="http://www.w3.org/2001/XMLSchema-instance" xsi:type="dcterms:W3CDTF">2026-09-29T04:03:11Z</dcterms:modified>
</cp:coreProperties>
</file>